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diario" sheetId="1" state="visible" r:id="rId3"/>
    <sheet name="Leyenda" sheetId="2" state="visible" r:id="rId4"/>
  </sheets>
  <definedNames>
    <definedName function="false" hidden="true" localSheetId="0" name="_xlnm._FilterDatabase" vbProcedure="false">'Resumen diario'!$A$4:$I$13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<sst xmlns="http://schemas.openxmlformats.org/spreadsheetml/2006/main" count="57" uniqueCount="36">
  <si>
    <t xml:space="preserve">Acerca Clock — Resumen diario por trabajador</t>
  </si>
  <si>
    <t xml:space="preserve">Una fila por trabajador y día. Bruto = Fin − Inicio. Neto = Bruto − Descansos − Comida. Equivalente a la vista SQL daily_time_summary.</t>
  </si>
  <si>
    <t xml:space="preserve">Email</t>
  </si>
  <si>
    <t xml:space="preserve">Nombre completo</t>
  </si>
  <si>
    <t xml:space="preserve">Fecha</t>
  </si>
  <si>
    <t xml:space="preserve">Inicio jornada</t>
  </si>
  <si>
    <t xml:space="preserve">Fin jornada</t>
  </si>
  <si>
    <t xml:space="preserve">Descansos (min)</t>
  </si>
  <si>
    <t xml:space="preserve">Comida (min)</t>
  </si>
  <si>
    <t xml:space="preserve">Bruto (min)</t>
  </si>
  <si>
    <t xml:space="preserve">Neto (min)</t>
  </si>
  <si>
    <t xml:space="preserve">carlos.lopez@acerca.info</t>
  </si>
  <si>
    <t xml:space="preserve">Carlos López García</t>
  </si>
  <si>
    <t xml:space="preserve">jesus.sanchez@acerca.info</t>
  </si>
  <si>
    <t xml:space="preserve">Jesús Sánchez Hervías</t>
  </si>
  <si>
    <t xml:space="preserve">marta.gomez@acerca.info</t>
  </si>
  <si>
    <t xml:space="preserve">Marta Gómez Ruiz</t>
  </si>
  <si>
    <t xml:space="preserve">Totales</t>
  </si>
  <si>
    <t xml:space="preserve">Leyenda de columnas</t>
  </si>
  <si>
    <t xml:space="preserve">Columna</t>
  </si>
  <si>
    <t xml:space="preserve">Descripción</t>
  </si>
  <si>
    <t xml:space="preserve">Cuenta corporativa del trabajador.</t>
  </si>
  <si>
    <t xml:space="preserve">Nombre del usuario tal como lo devuelve Google.</t>
  </si>
  <si>
    <t xml:space="preserve">Día en zona horaria Europe/Madrid.</t>
  </si>
  <si>
    <t xml:space="preserve">Primer CLOCK_IN del día.</t>
  </si>
  <si>
    <t xml:space="preserve">Último CLOCK_OUT del día. Vacío si no se cerró.</t>
  </si>
  <si>
    <t xml:space="preserve">Suma de minutos de todos los descansos del día.</t>
  </si>
  <si>
    <t xml:space="preserve">Minutos de comida del día (puede ser 0).</t>
  </si>
  <si>
    <t xml:space="preserve">Fórmula: (Fin − Inicio) en minutos. Tiempo total de presencia.</t>
  </si>
  <si>
    <t xml:space="preserve">Fórmula: Bruto − Descansos − Comida. Tiempo efectivo trabajado.</t>
  </si>
  <si>
    <t xml:space="preserve">Cómo regenerar este resumen</t>
  </si>
  <si>
    <t xml:space="preserve">1. Entra en Supabase → SQL Editor.</t>
  </si>
  <si>
    <t xml:space="preserve">2. Ejecuta:  select * from daily_time_summary order by local_date desc, email;</t>
  </si>
  <si>
    <t xml:space="preserve">3. Pulsa Export → CSV o Download.</t>
  </si>
  <si>
    <t xml:space="preserve">4. Abre el CSV en Excel y, si quieres este formato, copia los datos sobre esta plantilla.</t>
  </si>
  <si>
    <t xml:space="preserve">5. Las celdas Bruto y Neto se recalculan automáticamente con fórmulas.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</si>
</sst>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hh:mm"/>
    <numFmt numFmtId="167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83040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F172A"/>
      <name val="Arial"/>
      <family val="0"/>
      <charset val="1"/>
    </font>
    <font>
      <sz val="10"/>
      <color rgb="FF0F172A"/>
      <name val="Consolas"/>
      <family val="0"/>
      <charset val="1"/>
    </font>
    <font>
      <b val="true"/>
      <sz val="10"/>
      <color rgb="FFF88000"/>
      <name val="Arial"/>
      <family val="0"/>
      <charset val="1"/>
    </font>
    <font>
      <b val="true"/>
      <sz val="11"/>
      <color rgb="FF283040"/>
      <name val="Arial"/>
      <family val="0"/>
      <charset val="1"/>
    </font>
    <font>
      <b val="true"/>
      <sz val="11"/>
      <color rgb="FFF8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83040"/>
        <bgColor rgb="FF333300"/>
      </patternFill>
    </fill>
    <fill>
      <patternFill patternType="solid">
        <fgColor rgb="FFF8FAFC"/>
        <bgColor rgb="FFFFFFFF"/>
      </patternFill>
    </fill>
    <fill>
      <patternFill patternType="solid">
        <fgColor rgb="FFFFF1E0"/>
        <bgColor rgb="FFF8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83040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F172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E0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88000"/>
      <rgbColor rgb="FFFF6600"/>
      <rgbColor rgb="FF64748B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283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9" min="7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5" t="n">
        <v>46141</v>
      </c>
      <c r="D5" s="6" t="n">
        <v>0.381944444444444</v>
      </c>
      <c r="E5" s="6" t="n">
        <v>0.760416666666667</v>
      </c>
      <c r="F5" s="7" t="n">
        <v>0</v>
      </c>
      <c r="G5" s="7" t="n">
        <v>40</v>
      </c>
      <c r="H5" s="7" t="n">
        <f aca="false">IF(OR(D5="",E5=""),"",ROUND((E5-D5)*1440,0))</f>
        <v>545</v>
      </c>
      <c r="I5" s="8" t="n">
        <f aca="false">IF(H5="","",MAX(0,H5-F5-G5))</f>
        <v>505</v>
      </c>
    </row>
    <row r="6" customFormat="false" ht="15" hidden="false" customHeight="false" outlineLevel="0" collapsed="false">
      <c r="A6" s="9" t="s">
        <v>13</v>
      </c>
      <c r="B6" s="9" t="s">
        <v>14</v>
      </c>
      <c r="C6" s="10" t="n">
        <v>46141</v>
      </c>
      <c r="D6" s="11" t="n">
        <v>0.375</v>
      </c>
      <c r="E6" s="11" t="n">
        <v>0.752777777777778</v>
      </c>
      <c r="F6" s="12" t="n">
        <v>12</v>
      </c>
      <c r="G6" s="12" t="n">
        <v>43</v>
      </c>
      <c r="H6" s="12" t="n">
        <f aca="false">IF(OR(D6="",E6=""),"",ROUND((E6-D6)*1440,0))</f>
        <v>544</v>
      </c>
      <c r="I6" s="13" t="n">
        <f aca="false">IF(H6="","",MAX(0,H6-F6-G6))</f>
        <v>489</v>
      </c>
    </row>
    <row r="7" customFormat="false" ht="15" hidden="false" customHeight="false" outlineLevel="0" collapsed="false">
      <c r="A7" s="4" t="s">
        <v>15</v>
      </c>
      <c r="B7" s="4" t="s">
        <v>16</v>
      </c>
      <c r="C7" s="5" t="n">
        <v>46141</v>
      </c>
      <c r="D7" s="6" t="n">
        <v>0.371527777777778</v>
      </c>
      <c r="E7" s="6" t="n">
        <v>0.746527777777778</v>
      </c>
      <c r="F7" s="7" t="n">
        <v>15</v>
      </c>
      <c r="G7" s="7" t="n">
        <v>60</v>
      </c>
      <c r="H7" s="7" t="n">
        <f aca="false">IF(OR(D7="",E7=""),"",ROUND((E7-D7)*1440,0))</f>
        <v>540</v>
      </c>
      <c r="I7" s="8" t="n">
        <f aca="false">IF(H7="","",MAX(0,H7-F7-G7))</f>
        <v>465</v>
      </c>
    </row>
    <row r="8" customFormat="false" ht="15" hidden="false" customHeight="false" outlineLevel="0" collapsed="false">
      <c r="A8" s="9" t="s">
        <v>11</v>
      </c>
      <c r="B8" s="9" t="s">
        <v>12</v>
      </c>
      <c r="C8" s="10" t="n">
        <v>46142</v>
      </c>
      <c r="D8" s="11" t="n">
        <v>0.375</v>
      </c>
      <c r="E8" s="11" t="n">
        <v>0.75</v>
      </c>
      <c r="F8" s="12" t="n">
        <v>15</v>
      </c>
      <c r="G8" s="12" t="n">
        <v>40</v>
      </c>
      <c r="H8" s="12" t="n">
        <f aca="false">IF(OR(D8="",E8=""),"",ROUND((E8-D8)*1440,0))</f>
        <v>540</v>
      </c>
      <c r="I8" s="13" t="n">
        <f aca="false">IF(H8="","",MAX(0,H8-F8-G8))</f>
        <v>485</v>
      </c>
    </row>
    <row r="9" customFormat="false" ht="15" hidden="false" customHeight="false" outlineLevel="0" collapsed="false">
      <c r="A9" s="4" t="s">
        <v>13</v>
      </c>
      <c r="B9" s="4" t="s">
        <v>14</v>
      </c>
      <c r="C9" s="5" t="n">
        <v>46142</v>
      </c>
      <c r="D9" s="6" t="n">
        <v>0.378472222222222</v>
      </c>
      <c r="E9" s="6" t="n">
        <v>0.756944444444444</v>
      </c>
      <c r="F9" s="7" t="n">
        <v>18</v>
      </c>
      <c r="G9" s="7" t="n">
        <v>45</v>
      </c>
      <c r="H9" s="7" t="n">
        <f aca="false">IF(OR(D9="",E9=""),"",ROUND((E9-D9)*1440,0))</f>
        <v>545</v>
      </c>
      <c r="I9" s="8" t="n">
        <f aca="false">IF(H9="","",MAX(0,H9-F9-G9))</f>
        <v>482</v>
      </c>
    </row>
    <row r="10" customFormat="false" ht="15" hidden="false" customHeight="false" outlineLevel="0" collapsed="false">
      <c r="A10" s="9" t="s">
        <v>15</v>
      </c>
      <c r="B10" s="9" t="s">
        <v>16</v>
      </c>
      <c r="C10" s="10" t="n">
        <v>46142</v>
      </c>
      <c r="D10" s="11" t="n">
        <v>0.375</v>
      </c>
      <c r="E10" s="11" t="n">
        <v>0.583333333333333</v>
      </c>
      <c r="F10" s="12" t="n">
        <v>15</v>
      </c>
      <c r="G10" s="12" t="n">
        <v>0</v>
      </c>
      <c r="H10" s="12" t="n">
        <f aca="false">IF(OR(D10="",E10=""),"",ROUND((E10-D10)*1440,0))</f>
        <v>300</v>
      </c>
      <c r="I10" s="13" t="n">
        <f aca="false">IF(H10="","",MAX(0,H10-F10-G10))</f>
        <v>285</v>
      </c>
    </row>
    <row r="11" customFormat="false" ht="15" hidden="false" customHeight="false" outlineLevel="0" collapsed="false">
      <c r="A11" s="4" t="s">
        <v>11</v>
      </c>
      <c r="B11" s="4" t="s">
        <v>12</v>
      </c>
      <c r="C11" s="5" t="n">
        <v>46143</v>
      </c>
      <c r="D11" s="6" t="n">
        <v>0.373611111111111</v>
      </c>
      <c r="E11" s="6" t="n">
        <v>0.743055555555556</v>
      </c>
      <c r="F11" s="7" t="n">
        <v>12</v>
      </c>
      <c r="G11" s="7" t="n">
        <v>40</v>
      </c>
      <c r="H11" s="7" t="n">
        <f aca="false">IF(OR(D11="",E11=""),"",ROUND((E11-D11)*1440,0))</f>
        <v>532</v>
      </c>
      <c r="I11" s="8" t="n">
        <f aca="false">IF(H11="","",MAX(0,H11-F11-G11))</f>
        <v>480</v>
      </c>
    </row>
    <row r="12" customFormat="false" ht="15" hidden="false" customHeight="false" outlineLevel="0" collapsed="false">
      <c r="A12" s="9" t="s">
        <v>13</v>
      </c>
      <c r="B12" s="9" t="s">
        <v>14</v>
      </c>
      <c r="C12" s="10" t="n">
        <v>46143</v>
      </c>
      <c r="D12" s="11" t="n">
        <v>0.482638888888889</v>
      </c>
      <c r="E12" s="11"/>
      <c r="F12" s="12" t="n">
        <v>15</v>
      </c>
      <c r="G12" s="12" t="n">
        <v>0</v>
      </c>
      <c r="H12" s="12" t="str">
        <f aca="false">IF(OR(D12="",E12=""),"",ROUND((E12-D12)*1440,0))</f>
        <v/>
      </c>
      <c r="I12" s="13" t="str">
        <f aca="false">IF(H12="","",MAX(0,H12-F12-G12))</f>
        <v/>
      </c>
    </row>
    <row r="13" customFormat="false" ht="15" hidden="false" customHeight="false" outlineLevel="0" collapsed="false">
      <c r="A13" s="4" t="s">
        <v>15</v>
      </c>
      <c r="B13" s="4" t="s">
        <v>16</v>
      </c>
      <c r="C13" s="5" t="n">
        <v>46143</v>
      </c>
      <c r="D13" s="6" t="n">
        <v>0.376388888888889</v>
      </c>
      <c r="E13" s="6" t="n">
        <v>0.75</v>
      </c>
      <c r="F13" s="7" t="n">
        <v>0</v>
      </c>
      <c r="G13" s="7" t="n">
        <v>50</v>
      </c>
      <c r="H13" s="7" t="n">
        <f aca="false">IF(OR(D13="",E13=""),"",ROUND((E13-D13)*1440,0))</f>
        <v>538</v>
      </c>
      <c r="I13" s="8" t="n">
        <f aca="false">IF(H13="","",MAX(0,H13-F13-G13))</f>
        <v>488</v>
      </c>
    </row>
    <row r="15" customFormat="false" ht="15" hidden="false" customHeight="false" outlineLevel="0" collapsed="false">
      <c r="A15" s="14" t="s">
        <v>17</v>
      </c>
      <c r="B15" s="15"/>
      <c r="C15" s="15"/>
      <c r="D15" s="15"/>
      <c r="E15" s="15"/>
      <c r="F15" s="14" t="n">
        <f aca="false">SUM(F5:F13)</f>
        <v>102</v>
      </c>
      <c r="G15" s="14" t="n">
        <f aca="false">SUM(G5:G13)</f>
        <v>318</v>
      </c>
      <c r="H15" s="14" t="n">
        <f aca="false">SUM(H5:H13)</f>
        <v>4084</v>
      </c>
      <c r="I15" s="16" t="n">
        <f aca="false">SUM(I5:I13)</f>
        <v>3679</v>
      </c>
    </row>
  </sheetData>
  <autoFilter ref="A4:I13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</cols>
  <sheetData>
    <row r="1" customFormat="false" ht="24" hidden="false" customHeight="true" outlineLevel="0" collapsed="false">
      <c r="A1" s="1" t="s">
        <v>18</v>
      </c>
      <c r="B1" s="1"/>
    </row>
    <row r="3" customFormat="false" ht="21.75" hidden="false" customHeight="true" outlineLevel="0" collapsed="false">
      <c r="A3" s="17" t="s">
        <v>19</v>
      </c>
      <c r="B3" s="17" t="s">
        <v>20</v>
      </c>
    </row>
    <row r="4" customFormat="false" ht="15" hidden="false" customHeight="false" outlineLevel="0" collapsed="false">
      <c r="A4" s="18" t="s">
        <v>2</v>
      </c>
      <c r="B4" s="19" t="s">
        <v>21</v>
      </c>
    </row>
    <row r="5" customFormat="false" ht="15" hidden="false" customHeight="false" outlineLevel="0" collapsed="false">
      <c r="A5" s="20" t="s">
        <v>3</v>
      </c>
      <c r="B5" s="21" t="s">
        <v>22</v>
      </c>
    </row>
    <row r="6" customFormat="false" ht="15" hidden="false" customHeight="false" outlineLevel="0" collapsed="false">
      <c r="A6" s="18" t="s">
        <v>4</v>
      </c>
      <c r="B6" s="19" t="s">
        <v>23</v>
      </c>
    </row>
    <row r="7" customFormat="false" ht="15" hidden="false" customHeight="false" outlineLevel="0" collapsed="false">
      <c r="A7" s="20" t="s">
        <v>5</v>
      </c>
      <c r="B7" s="21" t="s">
        <v>24</v>
      </c>
    </row>
    <row r="8" customFormat="false" ht="15" hidden="false" customHeight="false" outlineLevel="0" collapsed="false">
      <c r="A8" s="18" t="s">
        <v>6</v>
      </c>
      <c r="B8" s="19" t="s">
        <v>25</v>
      </c>
    </row>
    <row r="9" customFormat="false" ht="15" hidden="false" customHeight="false" outlineLevel="0" collapsed="false">
      <c r="A9" s="20" t="s">
        <v>7</v>
      </c>
      <c r="B9" s="21" t="s">
        <v>26</v>
      </c>
    </row>
    <row r="10" customFormat="false" ht="15" hidden="false" customHeight="false" outlineLevel="0" collapsed="false">
      <c r="A10" s="18" t="s">
        <v>8</v>
      </c>
      <c r="B10" s="19" t="s">
        <v>27</v>
      </c>
    </row>
    <row r="11" customFormat="false" ht="15" hidden="false" customHeight="false" outlineLevel="0" collapsed="false">
      <c r="A11" s="20" t="s">
        <v>9</v>
      </c>
      <c r="B11" s="21" t="s">
        <v>28</v>
      </c>
    </row>
    <row r="12" customFormat="false" ht="15" hidden="false" customHeight="false" outlineLevel="0" collapsed="false">
      <c r="A12" s="18" t="s">
        <v>10</v>
      </c>
      <c r="B12" s="19" t="s">
        <v>29</v>
      </c>
    </row>
    <row r="15" customFormat="false" ht="21.75" hidden="false" customHeight="true" outlineLevel="0" collapsed="false">
      <c r="A15" s="1" t="s">
        <v>30</v>
      </c>
      <c r="B15" s="1"/>
    </row>
    <row r="16" customFormat="false" ht="15" hidden="false" customHeight="false" outlineLevel="0" collapsed="false">
      <c r="A16" s="22" t="s">
        <v>31</v>
      </c>
      <c r="B16" s="22"/>
    </row>
    <row r="17" customFormat="false" ht="15" hidden="false" customHeight="false" outlineLevel="0" collapsed="false">
      <c r="A17" s="22" t="s">
        <v>32</v>
      </c>
      <c r="B17" s="22"/>
    </row>
    <row r="18" customFormat="false" ht="15" hidden="false" customHeight="false" outlineLevel="0" collapsed="false">
      <c r="A18" s="22" t="s">
        <v>33</v>
      </c>
      <c r="B18" s="22"/>
    </row>
    <row r="19" customFormat="false" ht="15" hidden="false" customHeight="false" outlineLevel="0" collapsed="false">
      <c r="A19" s="22" t="s">
        <v>34</v>
      </c>
      <c r="B19" s="22"/>
    </row>
    <row r="20" customFormat="false" ht="15" hidden="false" customHeight="false" outlineLevel="0" collapsed="false">
      <c r="A20" s="22" t="s">
        <v>35</v>
      </c>
      <c r="B20" s="22"/>
    </row>
  </sheetData>
  <mergeCells count="7">
    <mergeCell ref="A1:B1"/>
    <mergeCell ref="A15:B15"/>
    <mergeCell ref="A16:B16"/>
    <mergeCell ref="A17:B17"/>
    <mergeCell ref="A18:B18"/>
    <mergeCell ref="A19:B19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2026-05-01T10:22:51Z</dcterms:created>
  <dc:creator>openpyxl</dc:creator>
  <dc:description/>
  <dc:language>en-US</dc:language>
  <cp:lastModifiedBy/>
  <dcterms:modified xsi:type="dcterms:W3CDTF">2026-05-01T10:22:51Z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